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shoaib/Desktop/IG notes/"/>
    </mc:Choice>
  </mc:AlternateContent>
  <xr:revisionPtr revIDLastSave="0" documentId="13_ncr:1_{F8B8ADD5-A33A-554E-87C8-68FF43EC4A30}" xr6:coauthVersionLast="47" xr6:coauthVersionMax="47" xr10:uidLastSave="{00000000-0000-0000-0000-000000000000}"/>
  <bookViews>
    <workbookView xWindow="340" yWindow="3480" windowWidth="28240" windowHeight="14660" xr2:uid="{FB8DD749-8785-4FAE-BB03-E93D55D9EEF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S14" i="1"/>
  <c r="T13" i="1"/>
  <c r="U13" i="1"/>
  <c r="V13" i="1"/>
  <c r="V12" i="1"/>
  <c r="W12" i="1"/>
  <c r="X12" i="1"/>
  <c r="Y12" i="1"/>
  <c r="X11" i="1"/>
  <c r="Y11" i="1"/>
  <c r="Q10" i="1"/>
  <c r="R10" i="1"/>
  <c r="S10" i="1"/>
  <c r="R9" i="1"/>
  <c r="S9" i="1"/>
  <c r="T9" i="1"/>
  <c r="U9" i="1"/>
  <c r="V9" i="1"/>
  <c r="R8" i="1"/>
  <c r="S8" i="1"/>
  <c r="T8" i="1"/>
  <c r="U8" i="1"/>
  <c r="V8" i="1"/>
  <c r="W8" i="1"/>
  <c r="X8" i="1"/>
  <c r="Y8" i="1"/>
  <c r="T7" i="1"/>
  <c r="U7" i="1"/>
  <c r="V7" i="1"/>
  <c r="W7" i="1"/>
  <c r="X7" i="1"/>
  <c r="Y7" i="1"/>
  <c r="Q6" i="1"/>
  <c r="R6" i="1"/>
  <c r="S6" i="1"/>
  <c r="W6" i="1"/>
  <c r="X6" i="1"/>
  <c r="Y6" i="1"/>
  <c r="Q5" i="1"/>
  <c r="R5" i="1"/>
  <c r="S5" i="1"/>
  <c r="T5" i="1"/>
  <c r="U5" i="1"/>
  <c r="V5" i="1"/>
  <c r="P5" i="1"/>
  <c r="P11" i="1"/>
  <c r="P10" i="1"/>
  <c r="P9" i="1"/>
  <c r="P8" i="1"/>
  <c r="O3" i="1"/>
  <c r="Q3" i="1" s="1"/>
  <c r="O4" i="1"/>
  <c r="T4" i="1" s="1"/>
  <c r="O5" i="1"/>
  <c r="W5" i="1" s="1"/>
  <c r="O6" i="1"/>
  <c r="T6" i="1" s="1"/>
  <c r="O7" i="1"/>
  <c r="Q7" i="1" s="1"/>
  <c r="O8" i="1"/>
  <c r="Q8" i="1" s="1"/>
  <c r="O9" i="1"/>
  <c r="W9" i="1" s="1"/>
  <c r="O10" i="1"/>
  <c r="T10" i="1" s="1"/>
  <c r="O11" i="1"/>
  <c r="Q11" i="1" s="1"/>
  <c r="O12" i="1"/>
  <c r="Q12" i="1" s="1"/>
  <c r="O13" i="1"/>
  <c r="W13" i="1" s="1"/>
  <c r="O14" i="1"/>
  <c r="T14" i="1" s="1"/>
  <c r="O15" i="1"/>
  <c r="Q15" i="1" s="1"/>
  <c r="Q2" i="1"/>
  <c r="R2" i="1"/>
  <c r="S2" i="1"/>
  <c r="T2" i="1"/>
  <c r="O2" i="1"/>
  <c r="U2" i="1" s="1"/>
  <c r="Z8" i="1" l="1"/>
  <c r="X3" i="1"/>
  <c r="U4" i="1"/>
  <c r="P13" i="1"/>
  <c r="Q9" i="1"/>
  <c r="W11" i="1"/>
  <c r="T12" i="1"/>
  <c r="Z12" i="1" s="1"/>
  <c r="Q13" i="1"/>
  <c r="W15" i="1"/>
  <c r="Y3" i="1"/>
  <c r="V4" i="1"/>
  <c r="Y10" i="1"/>
  <c r="V11" i="1"/>
  <c r="S12" i="1"/>
  <c r="Y14" i="1"/>
  <c r="V15" i="1"/>
  <c r="Y4" i="1"/>
  <c r="Q14" i="1"/>
  <c r="S13" i="1"/>
  <c r="Y2" i="1"/>
  <c r="X10" i="1"/>
  <c r="U11" i="1"/>
  <c r="R12" i="1"/>
  <c r="X14" i="1"/>
  <c r="U15" i="1"/>
  <c r="Y15" i="1"/>
  <c r="X15" i="1"/>
  <c r="P14" i="1"/>
  <c r="R4" i="1"/>
  <c r="W10" i="1"/>
  <c r="T15" i="1"/>
  <c r="Z9" i="1"/>
  <c r="P3" i="1"/>
  <c r="P12" i="1"/>
  <c r="R13" i="1"/>
  <c r="W3" i="1"/>
  <c r="P2" i="1"/>
  <c r="V3" i="1"/>
  <c r="U3" i="1"/>
  <c r="P15" i="1"/>
  <c r="W14" i="1"/>
  <c r="W2" i="1"/>
  <c r="S3" i="1"/>
  <c r="Q4" i="1"/>
  <c r="Y5" i="1"/>
  <c r="V6" i="1"/>
  <c r="S7" i="1"/>
  <c r="Y9" i="1"/>
  <c r="V10" i="1"/>
  <c r="S11" i="1"/>
  <c r="Y13" i="1"/>
  <c r="V14" i="1"/>
  <c r="S15" i="1"/>
  <c r="X4" i="1"/>
  <c r="S4" i="1"/>
  <c r="Z7" i="1"/>
  <c r="T11" i="1"/>
  <c r="V2" i="1"/>
  <c r="R3" i="1"/>
  <c r="P6" i="1"/>
  <c r="Z6" i="1" s="1"/>
  <c r="X5" i="1"/>
  <c r="Z5" i="1" s="1"/>
  <c r="U6" i="1"/>
  <c r="R7" i="1"/>
  <c r="X9" i="1"/>
  <c r="U10" i="1"/>
  <c r="Z10" i="1" s="1"/>
  <c r="R11" i="1"/>
  <c r="Z11" i="1" s="1"/>
  <c r="X13" i="1"/>
  <c r="U14" i="1"/>
  <c r="R15" i="1"/>
  <c r="P4" i="1"/>
  <c r="W4" i="1"/>
  <c r="U12" i="1"/>
  <c r="X2" i="1"/>
  <c r="T3" i="1"/>
  <c r="P7" i="1"/>
  <c r="Z14" i="1" l="1"/>
  <c r="Z15" i="1"/>
  <c r="Z2" i="1"/>
  <c r="Z13" i="1"/>
  <c r="Z4" i="1"/>
  <c r="Z3" i="1"/>
</calcChain>
</file>

<file path=xl/sharedStrings.xml><?xml version="1.0" encoding="utf-8"?>
<sst xmlns="http://schemas.openxmlformats.org/spreadsheetml/2006/main" count="67" uniqueCount="20">
  <si>
    <t>Year</t>
  </si>
  <si>
    <t>Period</t>
  </si>
  <si>
    <t>Period code</t>
  </si>
  <si>
    <t>Belgium</t>
  </si>
  <si>
    <t>Denmark</t>
  </si>
  <si>
    <t>France</t>
  </si>
  <si>
    <t>Germany</t>
  </si>
  <si>
    <t>Greece</t>
  </si>
  <si>
    <t>Italy</t>
  </si>
  <si>
    <t>Netherland</t>
  </si>
  <si>
    <t>Spain</t>
  </si>
  <si>
    <t>Switzerland</t>
  </si>
  <si>
    <t>UK</t>
  </si>
  <si>
    <t>A</t>
  </si>
  <si>
    <t>GFC and sovereign debt crises</t>
  </si>
  <si>
    <t>B</t>
  </si>
  <si>
    <t>Zero</t>
  </si>
  <si>
    <t>no zero</t>
  </si>
  <si>
    <t>New EU regulation for G-SIFIs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</si>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</sst>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745B-65E9-4663-86BB-2A308D48110A}">
  <dimension ref="A1:Z15"/>
  <sheetViews>
    <sheetView tabSelected="1" workbookViewId="0">
      <selection sqref="A1:B15"/>
    </sheetView>
  </sheetViews>
  <sheetFormatPr baseColWidth="10" defaultColWidth="8.83203125" defaultRowHeight="15" x14ac:dyDescent="0.2"/>
  <cols>
    <col min="1" max="1" width="6.1640625" customWidth="1"/>
    <col min="2" max="2" width="25.5" bestFit="1" customWidth="1"/>
    <col min="3" max="3" width="10.5" bestFit="1" customWidth="1"/>
    <col min="4" max="4" width="10.5" customWidth="1"/>
    <col min="11" max="11" width="10.1640625" bestFit="1" customWidth="1"/>
    <col min="13" max="13" width="10.3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19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6" x14ac:dyDescent="0.2">
      <c r="A2">
        <v>2008</v>
      </c>
      <c r="B2" s="1" t="s">
        <v>14</v>
      </c>
      <c r="C2" s="1" t="s">
        <v>13</v>
      </c>
      <c r="D2" s="1" t="s">
        <v>17</v>
      </c>
      <c r="E2">
        <v>53.677999999999997</v>
      </c>
      <c r="F2">
        <v>22.946000000000002</v>
      </c>
      <c r="G2">
        <v>349.52300000000002</v>
      </c>
      <c r="H2">
        <v>181.66</v>
      </c>
      <c r="I2">
        <v>6.8929999999999998</v>
      </c>
      <c r="J2">
        <v>60.526000000000003</v>
      </c>
      <c r="K2">
        <v>79.340999999999994</v>
      </c>
      <c r="L2">
        <v>22.795999999999999</v>
      </c>
      <c r="M2">
        <v>92.350999999999999</v>
      </c>
      <c r="N2">
        <v>206.42099999999999</v>
      </c>
      <c r="O2">
        <f>SUM(E2:N2)</f>
        <v>1076.135</v>
      </c>
      <c r="P2">
        <f>E2/$O$2</f>
        <v>4.9880358876906707E-2</v>
      </c>
      <c r="Q2">
        <f t="shared" ref="Q2:Y15" si="0">F2/$O$2</f>
        <v>2.13226035766888E-2</v>
      </c>
      <c r="R2">
        <f t="shared" si="0"/>
        <v>0.32479475158785842</v>
      </c>
      <c r="S2">
        <f t="shared" si="0"/>
        <v>0.1688078168631259</v>
      </c>
      <c r="T2">
        <f t="shared" si="0"/>
        <v>6.4053301862684511E-3</v>
      </c>
      <c r="U2">
        <f t="shared" si="0"/>
        <v>5.6243872748307604E-2</v>
      </c>
      <c r="V2">
        <f t="shared" si="0"/>
        <v>7.3727738620154526E-2</v>
      </c>
      <c r="W2">
        <f t="shared" si="0"/>
        <v>2.1183215860463601E-2</v>
      </c>
      <c r="X2">
        <f t="shared" si="0"/>
        <v>8.5817299874086428E-2</v>
      </c>
      <c r="Y2">
        <f t="shared" si="0"/>
        <v>0.19181701180613955</v>
      </c>
      <c r="Z2">
        <f>SUM(P2:Y2)</f>
        <v>0.99999999999999978</v>
      </c>
    </row>
    <row r="3" spans="1:26" x14ac:dyDescent="0.2">
      <c r="A3">
        <v>2009</v>
      </c>
      <c r="B3" s="1" t="s">
        <v>14</v>
      </c>
      <c r="C3" s="1" t="s">
        <v>13</v>
      </c>
      <c r="D3" s="1" t="s">
        <v>17</v>
      </c>
      <c r="E3">
        <v>45.904000000000003</v>
      </c>
      <c r="F3">
        <v>16.096</v>
      </c>
      <c r="G3">
        <v>270.23700000000002</v>
      </c>
      <c r="H3">
        <v>144.09100000000001</v>
      </c>
      <c r="I3">
        <v>7.1980000000000004</v>
      </c>
      <c r="J3">
        <v>47.401000000000003</v>
      </c>
      <c r="K3">
        <v>66.369</v>
      </c>
      <c r="L3">
        <v>4.82</v>
      </c>
      <c r="M3">
        <v>51.128</v>
      </c>
      <c r="N3">
        <v>153.23099999999999</v>
      </c>
      <c r="O3">
        <f t="shared" ref="O3:O15" si="1">SUM(E3:N3)</f>
        <v>806.47500000000014</v>
      </c>
      <c r="P3">
        <f>E3/$O$3</f>
        <v>5.6919309340029131E-2</v>
      </c>
      <c r="Q3">
        <f t="shared" ref="Q3:Y3" si="2">F3/$O$3</f>
        <v>1.9958461204625064E-2</v>
      </c>
      <c r="R3">
        <f t="shared" si="2"/>
        <v>0.33508416255928575</v>
      </c>
      <c r="S3">
        <f t="shared" si="2"/>
        <v>0.17866765863789949</v>
      </c>
      <c r="T3">
        <f t="shared" si="2"/>
        <v>8.9252611674261444E-3</v>
      </c>
      <c r="U3">
        <f t="shared" si="2"/>
        <v>5.877553550947022E-2</v>
      </c>
      <c r="V3">
        <f t="shared" si="2"/>
        <v>8.2295173439970226E-2</v>
      </c>
      <c r="W3">
        <f t="shared" si="2"/>
        <v>5.9766266778263424E-3</v>
      </c>
      <c r="X3">
        <f t="shared" si="2"/>
        <v>6.3396881490436763E-2</v>
      </c>
      <c r="Y3">
        <f t="shared" si="2"/>
        <v>0.19000092997303075</v>
      </c>
      <c r="Z3">
        <f t="shared" ref="Z3:Z15" si="3">SUM(P3:Y3)</f>
        <v>0.99999999999999978</v>
      </c>
    </row>
    <row r="4" spans="1:26" x14ac:dyDescent="0.2">
      <c r="A4">
        <v>2010</v>
      </c>
      <c r="B4" s="1" t="s">
        <v>14</v>
      </c>
      <c r="C4" s="1" t="s">
        <v>13</v>
      </c>
      <c r="D4" s="1" t="s">
        <v>17</v>
      </c>
      <c r="E4">
        <v>45.804000000000002</v>
      </c>
      <c r="F4">
        <v>14.670999999999999</v>
      </c>
      <c r="G4">
        <v>334.721</v>
      </c>
      <c r="H4">
        <v>153.60499999999999</v>
      </c>
      <c r="I4">
        <v>16.827000000000002</v>
      </c>
      <c r="J4">
        <v>81.379000000000005</v>
      </c>
      <c r="K4">
        <v>68.322999999999993</v>
      </c>
      <c r="L4">
        <v>46.887999999999998</v>
      </c>
      <c r="M4">
        <v>59.18</v>
      </c>
      <c r="N4">
        <v>159.04300000000001</v>
      </c>
      <c r="O4">
        <f t="shared" si="1"/>
        <v>980.44100000000003</v>
      </c>
      <c r="P4">
        <f>E4/$O$4</f>
        <v>4.6717752521569379E-2</v>
      </c>
      <c r="Q4">
        <f t="shared" ref="Q4:Y5" si="4">F4/$O$4</f>
        <v>1.4963674509735923E-2</v>
      </c>
      <c r="R4">
        <f t="shared" si="4"/>
        <v>0.34139841153113754</v>
      </c>
      <c r="S4">
        <f t="shared" si="4"/>
        <v>0.15666929473573624</v>
      </c>
      <c r="T4">
        <f t="shared" si="4"/>
        <v>1.7162684955035541E-2</v>
      </c>
      <c r="U4">
        <f t="shared" si="4"/>
        <v>8.3002444818199156E-2</v>
      </c>
      <c r="V4">
        <f t="shared" si="4"/>
        <v>6.9685988244065675E-2</v>
      </c>
      <c r="W4">
        <f t="shared" si="4"/>
        <v>4.7823377439335971E-2</v>
      </c>
      <c r="X4">
        <f t="shared" si="4"/>
        <v>6.0360592835264945E-2</v>
      </c>
      <c r="Y4">
        <f t="shared" si="4"/>
        <v>0.16221577840991963</v>
      </c>
      <c r="Z4">
        <f t="shared" si="3"/>
        <v>1</v>
      </c>
    </row>
    <row r="5" spans="1:26" x14ac:dyDescent="0.2">
      <c r="A5">
        <v>2011</v>
      </c>
      <c r="B5" s="1" t="s">
        <v>14</v>
      </c>
      <c r="C5" s="1" t="s">
        <v>13</v>
      </c>
      <c r="D5" s="1" t="s">
        <v>17</v>
      </c>
      <c r="E5">
        <v>46.752000000000002</v>
      </c>
      <c r="F5">
        <v>19.125</v>
      </c>
      <c r="G5">
        <v>432.24200000000002</v>
      </c>
      <c r="H5">
        <v>190.417</v>
      </c>
      <c r="I5">
        <v>24.170999999999999</v>
      </c>
      <c r="J5">
        <v>110.813</v>
      </c>
      <c r="K5">
        <v>78.073999999999998</v>
      </c>
      <c r="L5">
        <v>62.927</v>
      </c>
      <c r="M5">
        <v>86.427000000000007</v>
      </c>
      <c r="N5">
        <v>222.286</v>
      </c>
      <c r="O5">
        <f t="shared" si="1"/>
        <v>1273.2340000000002</v>
      </c>
      <c r="P5">
        <f>E5/$O$5</f>
        <v>3.6719094840382834E-2</v>
      </c>
      <c r="Q5">
        <f t="shared" ref="Q5:Y5" si="5">F5/$O$5</f>
        <v>1.502080528795178E-2</v>
      </c>
      <c r="R5">
        <f t="shared" si="5"/>
        <v>0.33948355133463287</v>
      </c>
      <c r="S5">
        <f t="shared" si="5"/>
        <v>0.14955381336030923</v>
      </c>
      <c r="T5">
        <f t="shared" si="5"/>
        <v>1.898394167922E-2</v>
      </c>
      <c r="U5">
        <f t="shared" si="5"/>
        <v>8.703270569274775E-2</v>
      </c>
      <c r="V5">
        <f t="shared" si="5"/>
        <v>6.1319443244525353E-2</v>
      </c>
      <c r="W5">
        <f t="shared" si="5"/>
        <v>4.9422965456467544E-2</v>
      </c>
      <c r="X5">
        <f t="shared" si="5"/>
        <v>6.7879902673035744E-2</v>
      </c>
      <c r="Y5">
        <f t="shared" si="5"/>
        <v>0.17458377643072678</v>
      </c>
      <c r="Z5">
        <f t="shared" si="3"/>
        <v>0.99999999999999989</v>
      </c>
    </row>
    <row r="6" spans="1:26" x14ac:dyDescent="0.2">
      <c r="A6">
        <v>2012</v>
      </c>
      <c r="B6" s="1" t="s">
        <v>14</v>
      </c>
      <c r="C6" s="1" t="s">
        <v>13</v>
      </c>
      <c r="D6" s="1" t="s">
        <v>17</v>
      </c>
      <c r="E6">
        <v>36.04</v>
      </c>
      <c r="F6">
        <v>18.221</v>
      </c>
      <c r="G6">
        <v>393.95100000000002</v>
      </c>
      <c r="H6">
        <v>161.197</v>
      </c>
      <c r="I6">
        <v>24.670999999999999</v>
      </c>
      <c r="J6">
        <v>102.065</v>
      </c>
      <c r="K6">
        <v>69.031000000000006</v>
      </c>
      <c r="L6">
        <v>66.405000000000001</v>
      </c>
      <c r="M6">
        <v>72.195999999999998</v>
      </c>
      <c r="N6">
        <v>179.86199999999999</v>
      </c>
      <c r="O6">
        <f t="shared" si="1"/>
        <v>1123.6389999999999</v>
      </c>
      <c r="P6">
        <f>E6/$O$6</f>
        <v>3.2074358401586275E-2</v>
      </c>
      <c r="Q6">
        <f t="shared" ref="Q6:Y6" si="6">F6/$O$6</f>
        <v>1.6216062276229289E-2</v>
      </c>
      <c r="R6">
        <f t="shared" si="6"/>
        <v>0.3506028181649089</v>
      </c>
      <c r="S6">
        <f t="shared" si="6"/>
        <v>0.14345977667204504</v>
      </c>
      <c r="T6">
        <f t="shared" si="6"/>
        <v>2.1956340070075887E-2</v>
      </c>
      <c r="U6">
        <f t="shared" si="6"/>
        <v>9.0834333802938497E-2</v>
      </c>
      <c r="V6">
        <f t="shared" si="6"/>
        <v>6.1435211842949568E-2</v>
      </c>
      <c r="W6">
        <f t="shared" si="6"/>
        <v>5.9098162310136981E-2</v>
      </c>
      <c r="X6">
        <f t="shared" si="6"/>
        <v>6.4251952806906848E-2</v>
      </c>
      <c r="Y6">
        <f t="shared" si="6"/>
        <v>0.16007098365222283</v>
      </c>
      <c r="Z6">
        <f t="shared" si="3"/>
        <v>1</v>
      </c>
    </row>
    <row r="7" spans="1:26" x14ac:dyDescent="0.2">
      <c r="A7">
        <v>2013</v>
      </c>
      <c r="B7" s="1" t="s">
        <v>18</v>
      </c>
      <c r="C7" s="1" t="s">
        <v>15</v>
      </c>
      <c r="D7" s="1" t="s">
        <v>17</v>
      </c>
      <c r="E7">
        <v>26.181000000000001</v>
      </c>
      <c r="F7">
        <v>11.167999999999999</v>
      </c>
      <c r="G7">
        <v>257.83499999999998</v>
      </c>
      <c r="H7">
        <v>111.80800000000001</v>
      </c>
      <c r="I7">
        <v>11.856</v>
      </c>
      <c r="J7">
        <v>73.863</v>
      </c>
      <c r="K7">
        <v>51.280999999999999</v>
      </c>
      <c r="L7">
        <v>25.556999999999999</v>
      </c>
      <c r="M7">
        <v>35.146000000000001</v>
      </c>
      <c r="N7">
        <v>111.916</v>
      </c>
      <c r="O7">
        <f t="shared" si="1"/>
        <v>716.61099999999988</v>
      </c>
      <c r="P7">
        <f>E7/$O$7</f>
        <v>3.6534465700359058E-2</v>
      </c>
      <c r="Q7">
        <f t="shared" ref="Q7:Y7" si="7">F7/$O$7</f>
        <v>1.5584466328314806E-2</v>
      </c>
      <c r="R7">
        <f t="shared" si="7"/>
        <v>0.35979771452015114</v>
      </c>
      <c r="S7">
        <f t="shared" si="7"/>
        <v>0.15602328180840097</v>
      </c>
      <c r="T7">
        <f t="shared" si="7"/>
        <v>1.6544540901549099E-2</v>
      </c>
      <c r="U7">
        <f t="shared" si="7"/>
        <v>0.10307265727151832</v>
      </c>
      <c r="V7">
        <f t="shared" si="7"/>
        <v>7.1560442136668304E-2</v>
      </c>
      <c r="W7">
        <f t="shared" si="7"/>
        <v>3.566370038975121E-2</v>
      </c>
      <c r="X7">
        <f t="shared" si="7"/>
        <v>4.9044739754204175E-2</v>
      </c>
      <c r="Y7">
        <f t="shared" si="7"/>
        <v>0.15617399118908309</v>
      </c>
      <c r="Z7">
        <f t="shared" si="3"/>
        <v>1.0000000000000002</v>
      </c>
    </row>
    <row r="8" spans="1:26" x14ac:dyDescent="0.2">
      <c r="A8">
        <v>2014</v>
      </c>
      <c r="B8" s="1" t="s">
        <v>18</v>
      </c>
      <c r="C8" s="1" t="s">
        <v>15</v>
      </c>
      <c r="D8" s="1" t="s">
        <v>17</v>
      </c>
      <c r="E8">
        <v>16.977</v>
      </c>
      <c r="F8">
        <v>9.9329999999999998</v>
      </c>
      <c r="G8">
        <v>230.71899999999999</v>
      </c>
      <c r="H8">
        <v>106.261</v>
      </c>
      <c r="I8">
        <v>10.975</v>
      </c>
      <c r="J8">
        <v>66.14</v>
      </c>
      <c r="K8">
        <v>46.601999999999997</v>
      </c>
      <c r="L8">
        <v>24.707999999999998</v>
      </c>
      <c r="M8">
        <v>37.255000000000003</v>
      </c>
      <c r="N8">
        <v>128.41399999999999</v>
      </c>
      <c r="O8">
        <f t="shared" si="1"/>
        <v>677.98399999999992</v>
      </c>
      <c r="P8">
        <f>E8/$O$8</f>
        <v>2.5040413933072169E-2</v>
      </c>
      <c r="Q8">
        <f t="shared" ref="Q8:Y8" si="8">F8/$O$8</f>
        <v>1.4650788219191014E-2</v>
      </c>
      <c r="R8">
        <f t="shared" si="8"/>
        <v>0.34030154103931659</v>
      </c>
      <c r="S8">
        <f t="shared" si="8"/>
        <v>0.15673083730589513</v>
      </c>
      <c r="T8">
        <f t="shared" si="8"/>
        <v>1.618769764478218E-2</v>
      </c>
      <c r="U8">
        <f t="shared" si="8"/>
        <v>9.7553924576391199E-2</v>
      </c>
      <c r="V8">
        <f t="shared" si="8"/>
        <v>6.8736135366026338E-2</v>
      </c>
      <c r="W8">
        <f t="shared" si="8"/>
        <v>3.644333789587955E-2</v>
      </c>
      <c r="X8">
        <f t="shared" si="8"/>
        <v>5.4949674328597736E-2</v>
      </c>
      <c r="Y8">
        <f t="shared" si="8"/>
        <v>0.18940564969084817</v>
      </c>
      <c r="Z8">
        <f t="shared" si="3"/>
        <v>1</v>
      </c>
    </row>
    <row r="9" spans="1:26" x14ac:dyDescent="0.2">
      <c r="A9">
        <v>2015</v>
      </c>
      <c r="B9" s="1" t="s">
        <v>18</v>
      </c>
      <c r="C9" s="1" t="s">
        <v>15</v>
      </c>
      <c r="D9" s="1" t="s">
        <v>17</v>
      </c>
      <c r="E9">
        <v>12.997999999999999</v>
      </c>
      <c r="F9">
        <v>7.6340000000000003</v>
      </c>
      <c r="G9">
        <v>211.77600000000001</v>
      </c>
      <c r="H9">
        <v>101.098</v>
      </c>
      <c r="I9">
        <v>6.7060000000000004</v>
      </c>
      <c r="J9">
        <v>53.030999999999999</v>
      </c>
      <c r="K9">
        <v>37.698999999999998</v>
      </c>
      <c r="L9">
        <v>59.11</v>
      </c>
      <c r="M9">
        <v>27.119</v>
      </c>
      <c r="N9">
        <v>151.648</v>
      </c>
      <c r="O9">
        <f t="shared" si="1"/>
        <v>668.81900000000007</v>
      </c>
      <c r="P9">
        <f>E9/$O$9</f>
        <v>1.9434256502880446E-2</v>
      </c>
      <c r="Q9">
        <f t="shared" ref="Q9:Y9" si="9">F9/$O$9</f>
        <v>1.1414149418602042E-2</v>
      </c>
      <c r="R9">
        <f t="shared" si="9"/>
        <v>0.31664172219987768</v>
      </c>
      <c r="S9">
        <f t="shared" si="9"/>
        <v>0.1511589832226656</v>
      </c>
      <c r="T9">
        <f t="shared" si="9"/>
        <v>1.0026629028182512E-2</v>
      </c>
      <c r="U9">
        <f t="shared" si="9"/>
        <v>7.9290510586571245E-2</v>
      </c>
      <c r="V9">
        <f t="shared" si="9"/>
        <v>5.6366520687958915E-2</v>
      </c>
      <c r="W9">
        <f t="shared" si="9"/>
        <v>8.8379666247519875E-2</v>
      </c>
      <c r="X9">
        <f t="shared" si="9"/>
        <v>4.0547592098908666E-2</v>
      </c>
      <c r="Y9">
        <f t="shared" si="9"/>
        <v>0.22673997000683291</v>
      </c>
      <c r="Z9">
        <f t="shared" si="3"/>
        <v>0.99999999999999989</v>
      </c>
    </row>
    <row r="10" spans="1:26" x14ac:dyDescent="0.2">
      <c r="A10">
        <v>2016</v>
      </c>
      <c r="B10" s="1" t="s">
        <v>18</v>
      </c>
      <c r="C10" s="1" t="s">
        <v>15</v>
      </c>
      <c r="D10" s="1" t="s">
        <v>17</v>
      </c>
      <c r="E10">
        <v>13.983000000000001</v>
      </c>
      <c r="F10">
        <v>7.8979999999999997</v>
      </c>
      <c r="G10">
        <v>215.77</v>
      </c>
      <c r="H10">
        <v>104.51600000000001</v>
      </c>
      <c r="I10">
        <v>5.4960000000000004</v>
      </c>
      <c r="J10">
        <v>91.191999999999993</v>
      </c>
      <c r="K10">
        <v>36.265000000000001</v>
      </c>
      <c r="L10">
        <v>60.582999999999998</v>
      </c>
      <c r="M10">
        <v>41.518999999999998</v>
      </c>
      <c r="N10">
        <v>151.102</v>
      </c>
      <c r="O10">
        <f t="shared" si="1"/>
        <v>728.32399999999996</v>
      </c>
      <c r="P10">
        <f>E10/$O$10</f>
        <v>1.9198873029036528E-2</v>
      </c>
      <c r="Q10">
        <f t="shared" ref="Q10:Y10" si="10">F10/$O$10</f>
        <v>1.084407488974687E-2</v>
      </c>
      <c r="R10">
        <f t="shared" si="10"/>
        <v>0.29625551265645511</v>
      </c>
      <c r="S10">
        <f t="shared" si="10"/>
        <v>0.14350206776105143</v>
      </c>
      <c r="T10">
        <f t="shared" si="10"/>
        <v>7.5460921238349977E-3</v>
      </c>
      <c r="U10">
        <f t="shared" si="10"/>
        <v>0.12520801181891575</v>
      </c>
      <c r="V10">
        <f t="shared" si="10"/>
        <v>4.9792400085676161E-2</v>
      </c>
      <c r="W10">
        <f t="shared" si="10"/>
        <v>8.3181386306094549E-2</v>
      </c>
      <c r="X10">
        <f t="shared" si="10"/>
        <v>5.7006222505368492E-2</v>
      </c>
      <c r="Y10">
        <f t="shared" si="10"/>
        <v>0.2074653588238202</v>
      </c>
      <c r="Z10">
        <f t="shared" si="3"/>
        <v>1</v>
      </c>
    </row>
    <row r="11" spans="1:26" x14ac:dyDescent="0.2">
      <c r="A11">
        <v>2017</v>
      </c>
      <c r="B11" s="1" t="s">
        <v>18</v>
      </c>
      <c r="C11" s="1" t="s">
        <v>15</v>
      </c>
      <c r="D11" s="1" t="s">
        <v>17</v>
      </c>
      <c r="E11">
        <v>10.691000000000001</v>
      </c>
      <c r="F11">
        <v>5.7229999999999999</v>
      </c>
      <c r="G11">
        <v>192.422</v>
      </c>
      <c r="H11">
        <v>77.513999999999996</v>
      </c>
      <c r="I11">
        <v>4.1029999999999998</v>
      </c>
      <c r="J11">
        <v>71.957999999999998</v>
      </c>
      <c r="K11">
        <v>26.047999999999998</v>
      </c>
      <c r="L11">
        <v>33.463000000000001</v>
      </c>
      <c r="M11">
        <v>19.753</v>
      </c>
      <c r="N11">
        <v>107.11</v>
      </c>
      <c r="O11">
        <f t="shared" si="1"/>
        <v>548.78500000000008</v>
      </c>
      <c r="P11">
        <f>E11/$O$11</f>
        <v>1.9481217598877519E-2</v>
      </c>
      <c r="Q11">
        <f t="shared" ref="Q11:Y11" si="11">F11/$O$11</f>
        <v>1.0428492032398843E-2</v>
      </c>
      <c r="R11">
        <f t="shared" si="11"/>
        <v>0.35063276146396122</v>
      </c>
      <c r="S11">
        <f t="shared" si="11"/>
        <v>0.14124657197263041</v>
      </c>
      <c r="T11">
        <f t="shared" si="11"/>
        <v>7.476516304199275E-3</v>
      </c>
      <c r="U11">
        <f t="shared" si="11"/>
        <v>0.13112238854924968</v>
      </c>
      <c r="V11">
        <f t="shared" si="11"/>
        <v>4.746485417786564E-2</v>
      </c>
      <c r="W11">
        <f t="shared" si="11"/>
        <v>6.0976520859717366E-2</v>
      </c>
      <c r="X11">
        <f t="shared" si="11"/>
        <v>3.5994059604398804E-2</v>
      </c>
      <c r="Y11">
        <f t="shared" si="11"/>
        <v>0.19517661743670103</v>
      </c>
      <c r="Z11">
        <f t="shared" si="3"/>
        <v>0.99999999999999989</v>
      </c>
    </row>
    <row r="12" spans="1:26" x14ac:dyDescent="0.2">
      <c r="A12">
        <v>2018</v>
      </c>
      <c r="B12" s="1" t="s">
        <v>18</v>
      </c>
      <c r="C12" s="1" t="s">
        <v>15</v>
      </c>
      <c r="D12" s="1" t="s">
        <v>17</v>
      </c>
      <c r="E12">
        <v>17.71</v>
      </c>
      <c r="F12">
        <v>17.242999999999999</v>
      </c>
      <c r="G12">
        <v>246.02500000000001</v>
      </c>
      <c r="H12">
        <v>91.093000000000004</v>
      </c>
      <c r="I12">
        <v>15.461</v>
      </c>
      <c r="J12">
        <v>93.326999999999998</v>
      </c>
      <c r="K12">
        <v>41.362000000000002</v>
      </c>
      <c r="L12">
        <v>63.75</v>
      </c>
      <c r="M12">
        <v>39.17</v>
      </c>
      <c r="N12">
        <v>151.78299999999999</v>
      </c>
      <c r="O12">
        <f t="shared" si="1"/>
        <v>776.92399999999998</v>
      </c>
      <c r="P12">
        <f>E12/$O$12</f>
        <v>2.2795022421755542E-2</v>
      </c>
      <c r="Q12">
        <f t="shared" ref="Q12:Y12" si="12">F12/$O$12</f>
        <v>2.2193934027009074E-2</v>
      </c>
      <c r="R12">
        <f t="shared" si="12"/>
        <v>0.31666546534796197</v>
      </c>
      <c r="S12">
        <f t="shared" si="12"/>
        <v>0.11724827653670115</v>
      </c>
      <c r="T12">
        <f t="shared" si="12"/>
        <v>1.9900273385813801E-2</v>
      </c>
      <c r="U12">
        <f t="shared" si="12"/>
        <v>0.12012371866488872</v>
      </c>
      <c r="V12">
        <f t="shared" si="12"/>
        <v>5.3238154568529227E-2</v>
      </c>
      <c r="W12">
        <f t="shared" si="12"/>
        <v>8.2054357955218274E-2</v>
      </c>
      <c r="X12">
        <f t="shared" si="12"/>
        <v>5.0416771782053331E-2</v>
      </c>
      <c r="Y12">
        <f t="shared" si="12"/>
        <v>0.19536402531006894</v>
      </c>
      <c r="Z12">
        <f t="shared" si="3"/>
        <v>1</v>
      </c>
    </row>
    <row r="13" spans="1:26" x14ac:dyDescent="0.2">
      <c r="A13">
        <v>2019</v>
      </c>
      <c r="B13" s="1" t="s">
        <v>18</v>
      </c>
      <c r="C13" s="1" t="s">
        <v>15</v>
      </c>
      <c r="D13" s="1" t="s">
        <v>17</v>
      </c>
      <c r="E13">
        <v>16.035</v>
      </c>
      <c r="F13">
        <v>20.9</v>
      </c>
      <c r="G13">
        <v>198.40199999999999</v>
      </c>
      <c r="H13">
        <v>97.096999999999994</v>
      </c>
      <c r="I13">
        <v>9.5890000000000004</v>
      </c>
      <c r="J13">
        <v>71.893000000000001</v>
      </c>
      <c r="K13">
        <v>46.363999999999997</v>
      </c>
      <c r="L13">
        <v>65.75</v>
      </c>
      <c r="M13">
        <v>36.401000000000003</v>
      </c>
      <c r="N13">
        <v>153.70699999999999</v>
      </c>
      <c r="O13">
        <f t="shared" si="1"/>
        <v>716.13799999999992</v>
      </c>
      <c r="P13">
        <f>E13/$O$13</f>
        <v>2.2390935825218047E-2</v>
      </c>
      <c r="Q13">
        <f t="shared" ref="Q13:Y13" si="13">F13/$O$13</f>
        <v>2.9184319223389907E-2</v>
      </c>
      <c r="R13">
        <f t="shared" si="13"/>
        <v>0.27704436854349301</v>
      </c>
      <c r="S13">
        <f t="shared" si="13"/>
        <v>0.13558420304466459</v>
      </c>
      <c r="T13">
        <f t="shared" si="13"/>
        <v>1.3389877370004107E-2</v>
      </c>
      <c r="U13">
        <f t="shared" si="13"/>
        <v>0.10038986899173066</v>
      </c>
      <c r="V13">
        <f t="shared" si="13"/>
        <v>6.4741711792978454E-2</v>
      </c>
      <c r="W13">
        <f t="shared" si="13"/>
        <v>9.1811913346310364E-2</v>
      </c>
      <c r="X13">
        <f t="shared" si="13"/>
        <v>5.0829588710555797E-2</v>
      </c>
      <c r="Y13">
        <f t="shared" si="13"/>
        <v>0.21463321315165515</v>
      </c>
      <c r="Z13">
        <f t="shared" si="3"/>
        <v>1</v>
      </c>
    </row>
    <row r="14" spans="1:26" x14ac:dyDescent="0.2">
      <c r="A14">
        <v>2020</v>
      </c>
      <c r="B14" s="1" t="s">
        <v>18</v>
      </c>
      <c r="C14" s="1" t="s">
        <v>15</v>
      </c>
      <c r="D14" s="1" t="s">
        <v>17</v>
      </c>
      <c r="E14">
        <v>16.532</v>
      </c>
      <c r="F14">
        <v>22.762</v>
      </c>
      <c r="G14">
        <v>293.358</v>
      </c>
      <c r="H14">
        <v>91.555999999999997</v>
      </c>
      <c r="I14">
        <v>14.971</v>
      </c>
      <c r="J14">
        <v>110.85</v>
      </c>
      <c r="K14">
        <v>73.012</v>
      </c>
      <c r="L14">
        <v>107.012</v>
      </c>
      <c r="M14">
        <v>48.695</v>
      </c>
      <c r="N14">
        <v>250.238</v>
      </c>
      <c r="O14">
        <f t="shared" si="1"/>
        <v>1028.9859999999999</v>
      </c>
      <c r="P14">
        <f>E14/$O$14</f>
        <v>1.6066302165432769E-2</v>
      </c>
      <c r="Q14">
        <f t="shared" ref="Q14:Y14" si="14">F14/$O$14</f>
        <v>2.2120806308346279E-2</v>
      </c>
      <c r="R14">
        <f t="shared" si="14"/>
        <v>0.28509425784218645</v>
      </c>
      <c r="S14">
        <f t="shared" si="14"/>
        <v>8.8976915137815291E-2</v>
      </c>
      <c r="T14">
        <f t="shared" si="14"/>
        <v>1.4549274722882529E-2</v>
      </c>
      <c r="U14">
        <f t="shared" si="14"/>
        <v>0.10772741320095706</v>
      </c>
      <c r="V14">
        <f t="shared" si="14"/>
        <v>7.0955289965072416E-2</v>
      </c>
      <c r="W14">
        <f t="shared" si="14"/>
        <v>0.10399752766315579</v>
      </c>
      <c r="X14">
        <f t="shared" si="14"/>
        <v>4.7323287197299092E-2</v>
      </c>
      <c r="Y14">
        <f t="shared" si="14"/>
        <v>0.24318892579685247</v>
      </c>
      <c r="Z14">
        <f t="shared" si="3"/>
        <v>1</v>
      </c>
    </row>
    <row r="15" spans="1:26" x14ac:dyDescent="0.2">
      <c r="A15">
        <v>2021</v>
      </c>
      <c r="B15" s="1" t="s">
        <v>18</v>
      </c>
      <c r="C15" s="1" t="s">
        <v>15</v>
      </c>
      <c r="D15" s="1" t="s">
        <v>17</v>
      </c>
      <c r="E15">
        <v>20.677</v>
      </c>
      <c r="F15">
        <v>21.443000000000001</v>
      </c>
      <c r="G15">
        <v>267.30700000000002</v>
      </c>
      <c r="H15">
        <v>84.784000000000006</v>
      </c>
      <c r="I15">
        <v>16.763000000000002</v>
      </c>
      <c r="J15">
        <v>97.099000000000004</v>
      </c>
      <c r="K15">
        <v>49.555</v>
      </c>
      <c r="L15">
        <v>81.709999999999994</v>
      </c>
      <c r="M15">
        <v>44.29</v>
      </c>
      <c r="N15">
        <v>236.94</v>
      </c>
      <c r="O15">
        <f t="shared" si="1"/>
        <v>920.56799999999998</v>
      </c>
      <c r="P15">
        <f>E15/$O$15</f>
        <v>2.2461132691990161E-2</v>
      </c>
      <c r="Q15">
        <f t="shared" ref="Q15:Y15" si="15">F15/$O$15</f>
        <v>2.329322765944504E-2</v>
      </c>
      <c r="R15">
        <f t="shared" si="15"/>
        <v>0.29037181392357764</v>
      </c>
      <c r="S15">
        <f t="shared" si="15"/>
        <v>9.2099660209783538E-2</v>
      </c>
      <c r="T15">
        <f t="shared" si="15"/>
        <v>1.8209409842618908E-2</v>
      </c>
      <c r="U15">
        <f t="shared" si="15"/>
        <v>0.10547727055470102</v>
      </c>
      <c r="V15">
        <f t="shared" si="15"/>
        <v>5.3830895707867317E-2</v>
      </c>
      <c r="W15">
        <f t="shared" si="15"/>
        <v>8.8760417481381054E-2</v>
      </c>
      <c r="X15">
        <f t="shared" si="15"/>
        <v>4.8111600663937916E-2</v>
      </c>
      <c r="Y15">
        <f t="shared" si="15"/>
        <v>0.25738457126469744</v>
      </c>
      <c r="Z15">
        <f t="shared" si="3"/>
        <v>1.0000000000000002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Porro</dc:creator>
  <cp:lastModifiedBy>Muhammad Shoaib</cp:lastModifiedBy>
  <dcterms:created xsi:type="dcterms:W3CDTF">2023-04-26T11:51:46Z</dcterms:created>
  <dcterms:modified xsi:type="dcterms:W3CDTF">2023-04-27T12:56:33Z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2023-04-27T12:37:10Z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d2896c89-15a9-40c9-bf17-15fd7f785738</vt:lpwstr>
  </property>
  <property fmtid="{D5CDD505-2E9C-101B-9397-08002B2CF9AE}" pid="7" name="MSIP_Label_defa4170-0d19-0005-0004-bc88714345d2_ActionId">
    <vt:lpwstr>564ba8a3-ec97-4e79-a9d4-ae2a12dfcde2</vt:lpwstr>
  </property>
  <property fmtid="{D5CDD505-2E9C-101B-9397-08002B2CF9AE}" pid="8" name="MSIP_Label_defa4170-0d19-0005-0004-bc88714345d2_ContentBits">
    <vt:lpwstr>0</vt:lpwstr>
  </property>
</Properties>
</file>